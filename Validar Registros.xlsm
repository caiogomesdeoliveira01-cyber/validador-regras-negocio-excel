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filterPrivacy="1" codeName="EstaPastaDeTrabalho"/>
  <xr:revisionPtr revIDLastSave="0" documentId="13_ncr:1_{61A4A448-520E-412E-94C6-2E84BC8F8138}" xr6:coauthVersionLast="36" xr6:coauthVersionMax="36" xr10:uidLastSave="{00000000-0000-0000-0000-000000000000}"/>
  <bookViews>
    <workbookView xWindow="0" yWindow="0" windowWidth="23040" windowHeight="8376" xr2:uid="{00000000-000D-0000-FFFF-FFFF00000000}"/>
  </bookViews>
  <sheets>
    <sheet name="Tabela" sheetId="1" r:id="rId1"/>
    <sheet name="Lista de Regras" sheetId="5" r:id="rId2"/>
    <sheet name="Contato" sheetId="7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</calcChain>
</file>

<file path=xl/sharedStrings.xml><?xml version="1.0" encoding="utf-8"?>
<sst xmlns="http://schemas.openxmlformats.org/spreadsheetml/2006/main" count="438" uniqueCount="155">
  <si>
    <t>Entrada</t>
  </si>
  <si>
    <t>Saída</t>
  </si>
  <si>
    <t>Tipo</t>
  </si>
  <si>
    <t>Categoria</t>
  </si>
  <si>
    <t>Valor</t>
  </si>
  <si>
    <t>Nome da Regra</t>
  </si>
  <si>
    <t>Campo Alvo</t>
  </si>
  <si>
    <t>Valor Alvo</t>
  </si>
  <si>
    <t>Campo_Condição1</t>
  </si>
  <si>
    <t>Valor_Condição1</t>
  </si>
  <si>
    <t>Tipo Agrupamento</t>
  </si>
  <si>
    <t>Operador_Condição2</t>
  </si>
  <si>
    <t>Valor_Condição2</t>
  </si>
  <si>
    <t>Já foi Agrupado?</t>
  </si>
  <si>
    <t>&lt;&gt;</t>
  </si>
  <si>
    <t>Somar</t>
  </si>
  <si>
    <t>Não</t>
  </si>
  <si>
    <t>Ativo</t>
  </si>
  <si>
    <t>Sim</t>
  </si>
  <si>
    <t>Operador_Condição1</t>
  </si>
  <si>
    <t>Tarifas Bancárias</t>
  </si>
  <si>
    <t>&lt;</t>
  </si>
  <si>
    <t>Filtro</t>
  </si>
  <si>
    <t>Encontrar</t>
  </si>
  <si>
    <t>=</t>
  </si>
  <si>
    <t>Combinação</t>
  </si>
  <si>
    <t>QNT DE REGAS</t>
  </si>
  <si>
    <t>&gt;</t>
  </si>
  <si>
    <t>TABELA</t>
  </si>
  <si>
    <t>Cole a tabela abaixo que precisa ser conferida</t>
  </si>
  <si>
    <t>Recomenda-se fazer tratamento de dados antes de colar, para que as regras funcionem corretamente</t>
  </si>
  <si>
    <t>Campo_Condição2</t>
  </si>
  <si>
    <t>Data Crédito</t>
  </si>
  <si>
    <t>Lista de Operadores 1</t>
  </si>
  <si>
    <t>Lista de Operadores 2</t>
  </si>
  <si>
    <t>Contém</t>
  </si>
  <si>
    <t>Não Contém</t>
  </si>
  <si>
    <t>Parte 1: Onde aplicar a regra?</t>
  </si>
  <si>
    <t>Parte 2.1 Quando o registro está errado?</t>
  </si>
  <si>
    <t>Parte 2.2 Quando OS REGISTROS estão errados?</t>
  </si>
  <si>
    <t>Parte 3: Escreva o que está errado no registro</t>
  </si>
  <si>
    <t>Mensagem do Erro</t>
  </si>
  <si>
    <t>Cereja e Torrada Consultoria de Vendas</t>
  </si>
  <si>
    <t>Razão Social</t>
  </si>
  <si>
    <t>Pagto Extras do Neynaldo Messiano</t>
  </si>
  <si>
    <t>Há pagto adicionais dentro do valor fixo de 3 mil. Revisar as baixas deste fornecedor.</t>
  </si>
  <si>
    <t>DARF Atrasado</t>
  </si>
  <si>
    <t>Contar</t>
  </si>
  <si>
    <t>Era previsto pagar no mínimo 3 guias em atraso por mês.</t>
  </si>
  <si>
    <t>Prestadores de Serviço - Fixo</t>
  </si>
  <si>
    <t>Produtos B</t>
  </si>
  <si>
    <t>Sirenes e Incendios Ltda</t>
  </si>
  <si>
    <t>Meta Ticket Medio Produto B</t>
  </si>
  <si>
    <t>Média</t>
  </si>
  <si>
    <t>Ticket médio do Produto B ficou abaixo da meta de 3 mil.</t>
  </si>
  <si>
    <t>Software</t>
  </si>
  <si>
    <t>Materiais de Limpeza Ltda</t>
  </si>
  <si>
    <t>Baixa Automatica - Materiais de Limpeza Ltda</t>
  </si>
  <si>
    <t>Sistema continuando baixando com a categoria errada. Corrigir manualmente.</t>
  </si>
  <si>
    <t>Colaborador</t>
  </si>
  <si>
    <t>Colaborador não registrado</t>
  </si>
  <si>
    <t>Adriando Manga Brito;
Benicio Pera de Souza;
Clarice Caqui Gomes;
Bianca Caqui Gomes;
Carlos Pessego Brito;
Clarice Melancia Pereira;
Bruna Manga Brito;
André Umbu Pereira;
Celio Caqui dos Santos</t>
  </si>
  <si>
    <t>Fornecedor baixado errado em Colaborador</t>
  </si>
  <si>
    <t>Filtrando todos Prestadores de Serviços</t>
  </si>
  <si>
    <t>Listando todos Prestadores de Serviço (tanto Fixo quanto Variável)</t>
  </si>
  <si>
    <t>Filtrar Tarifas Bancárias - Extras</t>
  </si>
  <si>
    <t>pix;
ted;
manut;
cob</t>
  </si>
  <si>
    <t>Listando tarifas que não refere-se a Pix, TED, manutenção C/C ou boletos.</t>
  </si>
  <si>
    <t>Saída com Valor Positivo</t>
  </si>
  <si>
    <t>Entrada com Valor Negativo</t>
  </si>
  <si>
    <t>Recebimento com valor negativo.</t>
  </si>
  <si>
    <t>Pagamento com valor positivo.</t>
  </si>
  <si>
    <t>Tarifa TAC</t>
  </si>
  <si>
    <t>TAR TAC CONTRATO</t>
  </si>
  <si>
    <t>Tarifa TAC não encontrada. Provavelmente foi baixado com outro nome (revisar e corrigir)</t>
  </si>
  <si>
    <t>Desmembrar Recebimento da Sirene</t>
  </si>
  <si>
    <t>Há NF da Sirene de R$ 1200 que uma parte é Produto A. Precisa ratear o recebimento.</t>
  </si>
  <si>
    <t>Serviço</t>
  </si>
  <si>
    <t>Produtos C;1200</t>
  </si>
  <si>
    <t>Feriado</t>
  </si>
  <si>
    <t>Há baixas no feriado. Alterar para o próximo dia útil.</t>
  </si>
  <si>
    <t>Sorvetes com Cascas Ltda</t>
  </si>
  <si>
    <t>TARIFA DE MANUTENCAO DE C/C</t>
  </si>
  <si>
    <t>Suco de Fruta</t>
  </si>
  <si>
    <t>Produtos A</t>
  </si>
  <si>
    <t>Pães Cachorro S/A</t>
  </si>
  <si>
    <t>Iri e Neu Ltda</t>
  </si>
  <si>
    <t>Produtos C</t>
  </si>
  <si>
    <t>Adriando Manga Brito</t>
  </si>
  <si>
    <t>Benicio Pera de Souza</t>
  </si>
  <si>
    <t>Clarice Caqui Gomes</t>
  </si>
  <si>
    <t>Bianca Caqui Gomes</t>
  </si>
  <si>
    <t>Carlos Pessego Brito</t>
  </si>
  <si>
    <t>Clarice Melancia Pereira</t>
  </si>
  <si>
    <t>Bruna Manga Brito</t>
  </si>
  <si>
    <t>André Umbu Pereira</t>
  </si>
  <si>
    <t>Celio Caqui dos Santos</t>
  </si>
  <si>
    <t>TARIFA PIX</t>
  </si>
  <si>
    <t>TARIFA MOVT ON</t>
  </si>
  <si>
    <t>Francos e Caieiras ltda</t>
  </si>
  <si>
    <t>TARIFA CONTRATO</t>
  </si>
  <si>
    <t>Biscoitos Cachorro Ltda</t>
  </si>
  <si>
    <t>Bolachas Avestruz Cia</t>
  </si>
  <si>
    <t>TARIFA PACOTE DE SERVIÇOS</t>
  </si>
  <si>
    <t>Brigadeiro Coala Cia</t>
  </si>
  <si>
    <t>TARIFA SOBRE COBRANCA</t>
  </si>
  <si>
    <t>Casquinhas Coelho Futebol EI</t>
  </si>
  <si>
    <t>Paçoca Coelho Handball EI</t>
  </si>
  <si>
    <t>TARIFA TED</t>
  </si>
  <si>
    <t>Despesas Fixas</t>
  </si>
  <si>
    <t>Serviços Gerais de Limpeza Ltda</t>
  </si>
  <si>
    <t>ELEVADORES FUTEBOL LTDA</t>
  </si>
  <si>
    <t>Serviços Administrativos</t>
  </si>
  <si>
    <t>Boi Handball Doces Cia</t>
  </si>
  <si>
    <t>Marketing</t>
  </si>
  <si>
    <t>Leão Handball Salgados Ltda</t>
  </si>
  <si>
    <t>Cobra Volei Casquinhas EI</t>
  </si>
  <si>
    <t>TARIFA EXTRATO</t>
  </si>
  <si>
    <t>Sorvete Cachorro Boxe S/A</t>
  </si>
  <si>
    <t>Material de Escritório</t>
  </si>
  <si>
    <t>Corrida Sorvete  Cia</t>
  </si>
  <si>
    <t>Serviços de Terceiros</t>
  </si>
  <si>
    <t>Coala Maratona Salgados EI</t>
  </si>
  <si>
    <t>Macaco Corrida Pães S/A</t>
  </si>
  <si>
    <t>Tênis Balas  EI</t>
  </si>
  <si>
    <t>Estorno Tarifa</t>
  </si>
  <si>
    <t>Banco XYZ S/A</t>
  </si>
  <si>
    <t>Pitangas e Pitombas Ltda</t>
  </si>
  <si>
    <t>Cancelamentos</t>
  </si>
  <si>
    <t>TARIFA REN CXTPO</t>
  </si>
  <si>
    <t>Conta Acordo</t>
  </si>
  <si>
    <t>Fatura 1561489497</t>
  </si>
  <si>
    <t>Fatura 8798456465</t>
  </si>
  <si>
    <t>Conta</t>
  </si>
  <si>
    <t>Fatura assas532179</t>
  </si>
  <si>
    <t>Parafinas</t>
  </si>
  <si>
    <t>Paçoca Coelho Triatlo MEI</t>
  </si>
  <si>
    <t>Camelo Boxe Biscoitos EI</t>
  </si>
  <si>
    <t>Companhia de Distrbuição Elétrica</t>
  </si>
  <si>
    <t>Coelho Maratona Pães S/A</t>
  </si>
  <si>
    <t>Casquinhas Leão Maratona Ltda</t>
  </si>
  <si>
    <t>Salgados Avestruz MEI</t>
  </si>
  <si>
    <t>Companhia de Agua</t>
  </si>
  <si>
    <t>Paçoca Avestruz Volei Ltda</t>
  </si>
  <si>
    <t>MONITORAMENTO POR CAMERAS</t>
  </si>
  <si>
    <t>Macaco Handball Doces S/A</t>
  </si>
  <si>
    <t>LIGAÇÕES TRIATLO S.A</t>
  </si>
  <si>
    <t>Gato Triatlo Brigadeiro S/A</t>
  </si>
  <si>
    <t>Avestruz Skate Salgados Ltda</t>
  </si>
  <si>
    <t>Pães Coala Ltda</t>
  </si>
  <si>
    <t>TAR CTA MANUT</t>
  </si>
  <si>
    <t>Prestadores de Serviço - Variável</t>
  </si>
  <si>
    <t>Criado por Caio Henrique</t>
  </si>
  <si>
    <t>http://linkedin.com/in/caio-henrique-625682a2</t>
  </si>
  <si>
    <t>https://github.com/caiogomesdeoliveira01-cyber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</si>
</sst>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9"/>
      <color theme="0"/>
      <name val="Calibri"/>
      <family val="2"/>
      <scheme val="minor"/>
    </font>
    <font>
      <sz val="11"/>
      <color theme="1"/>
      <name val="Calibri"/>
      <scheme val="minor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4"/>
      </top>
      <bottom/>
      <diagonal/>
    </border>
  </borders>
  <cellStyleXfs count="3">
    <xf numFmtId="0" fontId="0" fillId="0" borderId="0"/>
    <xf numFmtId="44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71">
    <xf numFmtId="0" fontId="0" fillId="0" borderId="0" xfId="0"/>
    <xf numFmtId="0" fontId="0" fillId="2" borderId="0" xfId="0" applyFill="1"/>
    <xf numFmtId="0" fontId="1" fillId="3" borderId="0" xfId="0" applyFont="1" applyFill="1" applyBorder="1" applyAlignment="1">
      <alignment horizontal="center"/>
    </xf>
    <xf numFmtId="14" fontId="4" fillId="0" borderId="2" xfId="0" applyNumberFormat="1" applyFont="1" applyBorder="1" applyAlignment="1">
      <alignment horizontal="left"/>
    </xf>
    <xf numFmtId="3" fontId="5" fillId="0" borderId="0" xfId="0" applyNumberFormat="1" applyFont="1"/>
    <xf numFmtId="0" fontId="2" fillId="2" borderId="1" xfId="0" applyFont="1" applyFill="1" applyBorder="1" applyAlignment="1"/>
    <xf numFmtId="0" fontId="0" fillId="2" borderId="0" xfId="0" applyFill="1" applyBorder="1"/>
    <xf numFmtId="0" fontId="2" fillId="2" borderId="0" xfId="0" applyFont="1" applyFill="1" applyBorder="1" applyAlignment="1"/>
    <xf numFmtId="0" fontId="7" fillId="0" borderId="0" xfId="0" applyFont="1" applyAlignment="1">
      <alignment horizontal="center"/>
    </xf>
    <xf numFmtId="0" fontId="8" fillId="4" borderId="0" xfId="0" applyFont="1" applyFill="1" applyAlignment="1">
      <alignment horizontal="right"/>
    </xf>
    <xf numFmtId="0" fontId="8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1" fillId="3" borderId="0" xfId="0" applyFont="1" applyFill="1" applyAlignment="1">
      <alignment horizontal="center"/>
    </xf>
    <xf numFmtId="14" fontId="0" fillId="0" borderId="2" xfId="0" applyNumberFormat="1" applyFont="1" applyBorder="1" applyAlignment="1">
      <alignment horizontal="left"/>
    </xf>
    <xf numFmtId="0" fontId="0" fillId="0" borderId="2" xfId="0" applyNumberFormat="1" applyFont="1" applyBorder="1" applyAlignment="1">
      <alignment horizontal="left"/>
    </xf>
    <xf numFmtId="14" fontId="4" fillId="0" borderId="13" xfId="0" applyNumberFormat="1" applyFont="1" applyBorder="1" applyAlignment="1">
      <alignment horizontal="left"/>
    </xf>
    <xf numFmtId="14" fontId="0" fillId="0" borderId="13" xfId="0" applyNumberFormat="1" applyFont="1" applyBorder="1" applyAlignment="1">
      <alignment horizontal="left"/>
    </xf>
    <xf numFmtId="0" fontId="4" fillId="0" borderId="2" xfId="0" applyNumberFormat="1" applyFont="1" applyBorder="1" applyAlignment="1">
      <alignment horizontal="left"/>
    </xf>
    <xf numFmtId="0" fontId="4" fillId="0" borderId="13" xfId="0" applyNumberFormat="1" applyFont="1" applyBorder="1" applyAlignment="1">
      <alignment horizontal="left"/>
    </xf>
    <xf numFmtId="0" fontId="0" fillId="0" borderId="13" xfId="0" applyNumberFormat="1" applyFont="1" applyBorder="1" applyAlignment="1">
      <alignment horizontal="left"/>
    </xf>
    <xf numFmtId="44" fontId="4" fillId="0" borderId="2" xfId="1" applyNumberFormat="1" applyFont="1" applyBorder="1" applyAlignment="1">
      <alignment horizontal="left"/>
    </xf>
    <xf numFmtId="44" fontId="0" fillId="0" borderId="2" xfId="1" applyNumberFormat="1" applyFont="1" applyBorder="1" applyAlignment="1">
      <alignment horizontal="left"/>
    </xf>
    <xf numFmtId="44" fontId="4" fillId="0" borderId="13" xfId="1" applyNumberFormat="1" applyFont="1" applyBorder="1" applyAlignment="1">
      <alignment horizontal="left"/>
    </xf>
    <xf numFmtId="0" fontId="0" fillId="0" borderId="4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12" xfId="0" applyNumberFormat="1" applyBorder="1" applyAlignment="1" applyProtection="1">
      <alignment horizontal="center" vertical="center"/>
      <protection locked="0"/>
    </xf>
    <xf numFmtId="16" fontId="0" fillId="0" borderId="12" xfId="0" applyNumberFormat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3" fillId="2" borderId="0" xfId="0" applyFont="1" applyFill="1" applyAlignment="1">
      <alignment horizontal="left"/>
    </xf>
    <xf numFmtId="0" fontId="6" fillId="8" borderId="3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0" fillId="0" borderId="11" xfId="2" applyBorder="1" applyAlignment="1">
      <alignment horizontal="center" vertical="center"/>
    </xf>
    <xf numFmtId="0" fontId="10" fillId="0" borderId="0" xfId="2" applyBorder="1" applyAlignment="1">
      <alignment horizontal="center" vertical="center"/>
    </xf>
    <xf numFmtId="0" fontId="10" fillId="0" borderId="12" xfId="2" applyBorder="1" applyAlignment="1">
      <alignment horizontal="center" vertical="center"/>
    </xf>
  </cellXfs>
  <cellStyles count="3">
    <cellStyle name="Hiperlink" xfId="2" builtinId="8"/>
    <cellStyle name="Moeda" xfId="1" builtinId="4"/>
    <cellStyle name="Normal" xfId="0" builtinId="0"/>
  </cellStyles>
  <dxfs count="23">
    <dxf>
      <alignment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alignment vertical="center" textRotation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alignment vertical="center" textRotation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  <protection locked="0" hidden="0"/>
    </dxf>
    <dxf>
      <alignment vertical="center" textRotation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thin">
          <color theme="4"/>
        </bottom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1567815</xdr:colOff>
      <xdr:row>1</xdr:row>
      <xdr:rowOff>102870</xdr:rowOff>
    </xdr:from>
    <xdr:to>
      <xdr:col>3</xdr:col>
      <xdr:colOff>3213735</xdr:colOff>
      <xdr:row>3</xdr:row>
      <xdr:rowOff>148590</xdr:rowOff>
    </xdr:to>
    <xdr:sp macro="[0]!validar_tabela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098030" y="293370"/>
          <a:ext cx="1645920" cy="483870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CONFERIR</a:t>
          </a:r>
        </a:p>
      </xdr:txBody>
    </xdr:sp>
    <xdr:clientData/>
  </xdr:twoCellAnchor>
  <xdr:twoCellAnchor editAs="absolute">
    <xdr:from>
      <xdr:col>3</xdr:col>
      <xdr:colOff>3701415</xdr:colOff>
      <xdr:row>1</xdr:row>
      <xdr:rowOff>104775</xdr:rowOff>
    </xdr:from>
    <xdr:to>
      <xdr:col>4</xdr:col>
      <xdr:colOff>935355</xdr:colOff>
      <xdr:row>3</xdr:row>
      <xdr:rowOff>150495</xdr:rowOff>
    </xdr:to>
    <xdr:sp macro="[0]!limpar_tabela.limpar_tabela" textlink="">
      <xdr:nvSpPr>
        <xdr:cNvPr id="3" name="Retângulo de cantos arredondados 1">
          <a:extLst>
            <a:ext uri="{FF2B5EF4-FFF2-40B4-BE49-F238E27FC236}">
              <a16:creationId xmlns:a16="http://schemas.microsoft.com/office/drawing/2014/main" id="{AC1D17E1-35FF-4E24-AAD3-FBB76CC571D2}"/>
            </a:ext>
          </a:extLst>
        </xdr:cNvPr>
        <xdr:cNvSpPr/>
      </xdr:nvSpPr>
      <xdr:spPr>
        <a:xfrm>
          <a:off x="9105900" y="295275"/>
          <a:ext cx="1645920" cy="483870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</a:t>
          </a:r>
          <a:r>
            <a:rPr lang="pt-BR" sz="1100" b="1" baseline="0">
              <a:solidFill>
                <a:sysClr val="windowText" lastClr="000000"/>
              </a:solidFill>
            </a:rPr>
            <a:t> REGISTROS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4</xdr:col>
      <xdr:colOff>1223010</xdr:colOff>
      <xdr:row>1</xdr:row>
      <xdr:rowOff>104775</xdr:rowOff>
    </xdr:from>
    <xdr:to>
      <xdr:col>5</xdr:col>
      <xdr:colOff>411480</xdr:colOff>
      <xdr:row>3</xdr:row>
      <xdr:rowOff>150495</xdr:rowOff>
    </xdr:to>
    <xdr:sp macro="[0]!excluir_tabela" textlink="">
      <xdr:nvSpPr>
        <xdr:cNvPr id="4" name="Retângulo de cantos arredondados 1">
          <a:extLst>
            <a:ext uri="{FF2B5EF4-FFF2-40B4-BE49-F238E27FC236}">
              <a16:creationId xmlns:a16="http://schemas.microsoft.com/office/drawing/2014/main" id="{39278772-2660-4D39-BFA1-220D26DAF782}"/>
            </a:ext>
          </a:extLst>
        </xdr:cNvPr>
        <xdr:cNvSpPr/>
      </xdr:nvSpPr>
      <xdr:spPr>
        <a:xfrm>
          <a:off x="11039475" y="295275"/>
          <a:ext cx="1645920" cy="483870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EXCLUIR</a:t>
          </a:r>
          <a:r>
            <a:rPr lang="pt-BR" sz="1100" b="1" baseline="0">
              <a:solidFill>
                <a:sysClr val="windowText" lastClr="000000"/>
              </a:solidFill>
            </a:rPr>
            <a:t> TABELA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270934</xdr:colOff>
      <xdr:row>5</xdr:row>
      <xdr:rowOff>50800</xdr:rowOff>
    </xdr:from>
    <xdr:to>
      <xdr:col>1</xdr:col>
      <xdr:colOff>581919</xdr:colOff>
      <xdr:row>6</xdr:row>
      <xdr:rowOff>181185</xdr:rowOff>
    </xdr:to>
    <xdr:pic>
      <xdr:nvPicPr>
        <xdr:cNvPr id="2" name="Imagem 1" descr="Ilustração Editorial Do Logotipo Linkedin Em Fundo Branco Imagem Editorial  - Ilustração de vetor, vetores: 210441940">
          <a:extLst>
            <a:ext uri="{FF2B5EF4-FFF2-40B4-BE49-F238E27FC236}">
              <a16:creationId xmlns:a16="http://schemas.microsoft.com/office/drawing/2014/main" id="{A0564878-31CF-4364-9949-4B3143AFF7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05334" y="1239520"/>
          <a:ext cx="310985" cy="3132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185491</xdr:colOff>
      <xdr:row>8</xdr:row>
      <xdr:rowOff>33866</xdr:rowOff>
    </xdr:from>
    <xdr:to>
      <xdr:col>2</xdr:col>
      <xdr:colOff>93503</xdr:colOff>
      <xdr:row>9</xdr:row>
      <xdr:rowOff>143932</xdr:rowOff>
    </xdr:to>
    <xdr:pic>
      <xdr:nvPicPr>
        <xdr:cNvPr id="3" name="Imagem 2" descr="GitHub Logo: valor, história, PNG">
          <a:extLst>
            <a:ext uri="{FF2B5EF4-FFF2-40B4-BE49-F238E27FC236}">
              <a16:creationId xmlns:a16="http://schemas.microsoft.com/office/drawing/2014/main" id="{5204DD95-2889-4326-B040-4269056C5F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9891" y="1771226"/>
          <a:ext cx="517612" cy="292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981E65-7416-4458-8269-1916A37146F7}" name="tbl_tabela" displayName="tbl_tabela" ref="A10:E104" totalsRowShown="0" headerRowDxfId="22" dataDxfId="21" tableBorderDxfId="20">
  <autoFilter ref="A10:E104" xr:uid="{254319A8-888B-46A6-BB29-DFF4B885FDC6}"/>
  <sortState ref="A11:E104">
    <sortCondition ref="B10:B104"/>
  </sortState>
  <tableColumns count="5">
    <tableColumn id="1" xr3:uid="{BE8082B1-F25A-4333-BE47-F088DCC159C1}" name="Tipo" dataDxfId="19"/>
    <tableColumn id="9" xr3:uid="{44D27914-64DA-41CB-B4A6-1D33F95352B5}" name="Data Crédito" dataDxfId="18"/>
    <tableColumn id="3" xr3:uid="{C666D899-0E93-4386-B8F7-83D98D1B6D0C}" name="Categoria" dataDxfId="17"/>
    <tableColumn id="4" xr3:uid="{B3FDA5B2-A9C2-4BD1-863F-91396B432AF8}" name="Razão Social" dataDxfId="16"/>
    <tableColumn id="8" xr3:uid="{E89681CA-10EE-4D56-808A-CF419DB01DD6}" name="Valor" dataDxfId="15" dataCellStyle="Moeda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25EBF53-B0DE-40D1-9EFE-85CFFE703C0B}" name="tbl_regras_tabela" displayName="tbl_regras_tabela" ref="A2:M14" totalsRowShown="0" headerRowDxfId="14" dataDxfId="13">
  <autoFilter ref="A2:M14" xr:uid="{530375CB-7AA6-45A8-9E93-6DBF54EE351A}"/>
  <tableColumns count="13">
    <tableColumn id="1" xr3:uid="{5789CCCB-926F-420D-B4D5-F293CEBF0CE9}" name="Nome da Regra" dataDxfId="12"/>
    <tableColumn id="13" xr3:uid="{CFD84C52-CE7B-4459-ACC0-0A5083C66643}" name="Ativo" dataDxfId="11"/>
    <tableColumn id="2" xr3:uid="{6B5CC33B-C7AE-42A4-A587-3BC12E50341B}" name="Campo Alvo" dataDxfId="10"/>
    <tableColumn id="3" xr3:uid="{1A0B7958-72BC-4491-BD15-B577B2A0A536}" name="Valor Alvo" dataDxfId="9"/>
    <tableColumn id="4" xr3:uid="{A717075D-DED4-4247-A3C9-E044F2342CFA}" name="Campo_Condição1" dataDxfId="8"/>
    <tableColumn id="5" xr3:uid="{90BE379E-D7F0-4965-A0B6-EE03A4E552B1}" name="Operador_Condição1" dataDxfId="7"/>
    <tableColumn id="6" xr3:uid="{F124F69C-58B1-45D8-B6E7-0FB0A4DD3C8C}" name="Valor_Condição1" dataDxfId="6"/>
    <tableColumn id="7" xr3:uid="{23793ABE-5C47-41F0-BE01-40C18461CCE9}" name="Tipo Agrupamento" dataDxfId="5"/>
    <tableColumn id="8" xr3:uid="{353F64DC-D7EA-4F0B-94F6-E72F1908AE62}" name="Campo_Condição2" dataDxfId="4"/>
    <tableColumn id="9" xr3:uid="{3C2BB30C-1E07-46D7-92A4-BD4B48C40E07}" name="Operador_Condição2" dataDxfId="3"/>
    <tableColumn id="10" xr3:uid="{8C52A320-2E5E-497C-A4E2-FE7C00B49344}" name="Valor_Condição2" dataDxfId="2"/>
    <tableColumn id="11" xr3:uid="{737CF192-E188-4212-A1B9-37D447158541}" name="Já foi Agrupado?" dataDxfId="1"/>
    <tableColumn id="12" xr3:uid="{7C02B272-5EB1-468D-AC7D-63AD3AF7D077}" name="Mensagem do Erro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github.com/caiogomesdeoliveira01-cyber" TargetMode="External"/><Relationship Id="rId1" Type="http://schemas.openxmlformats.org/officeDocument/2006/relationships/hyperlink" Target="http://linkedin.com/in/caio-henrique-625682a2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104"/>
  <sheetViews>
    <sheetView showGridLines="0" tabSelected="1" workbookViewId="0"/>
  </sheetViews>
  <sheetFormatPr defaultRowHeight="14.4" x14ac:dyDescent="0.3"/>
  <cols>
    <col min="1" max="1" width="20.44140625" bestFit="1" customWidth="1"/>
    <col min="2" max="2" width="27.88671875" bestFit="1" customWidth="1"/>
    <col min="3" max="3" width="34.33203125" bestFit="1" customWidth="1"/>
    <col min="4" max="4" width="64.33203125" bestFit="1" customWidth="1"/>
    <col min="5" max="5" width="37.33203125" bestFit="1" customWidth="1"/>
    <col min="6" max="6" width="15.5546875" bestFit="1" customWidth="1"/>
    <col min="7" max="7" width="19.5546875" bestFit="1" customWidth="1"/>
    <col min="8" max="8" width="19.109375" customWidth="1"/>
    <col min="9" max="9" width="10.33203125" bestFit="1" customWidth="1"/>
    <col min="10" max="10" width="11.5546875" bestFit="1" customWidth="1"/>
    <col min="11" max="11" width="25.109375" bestFit="1" customWidth="1"/>
    <col min="12" max="12" width="12" bestFit="1" customWidth="1"/>
    <col min="13" max="13" width="10" bestFit="1" customWidth="1"/>
    <col min="14" max="14" width="20.33203125" bestFit="1" customWidth="1"/>
    <col min="15" max="15" width="22.6640625" bestFit="1" customWidth="1"/>
    <col min="16" max="16" width="24.6640625" bestFit="1" customWidth="1"/>
    <col min="17" max="17" width="18.33203125" bestFit="1" customWidth="1"/>
    <col min="18" max="18" width="16.109375" bestFit="1" customWidth="1"/>
    <col min="19" max="19" width="11.88671875" bestFit="1" customWidth="1"/>
    <col min="20" max="20" width="13.44140625" bestFit="1" customWidth="1"/>
    <col min="21" max="21" width="41.6640625" bestFit="1" customWidth="1"/>
    <col min="22" max="22" width="21.33203125" bestFit="1" customWidth="1"/>
    <col min="27" max="27" width="19.6640625" bestFit="1" customWidth="1"/>
    <col min="28" max="28" width="31.33203125" bestFit="1" customWidth="1"/>
    <col min="29" max="29" width="15.109375" bestFit="1" customWidth="1"/>
    <col min="30" max="30" width="23.109375" bestFit="1" customWidth="1"/>
    <col min="31" max="31" width="26.6640625" bestFit="1" customWidth="1"/>
    <col min="32" max="32" width="62.33203125" customWidth="1"/>
    <col min="33" max="34" width="23.109375" bestFit="1" customWidth="1"/>
    <col min="35" max="35" width="25.5546875" bestFit="1" customWidth="1"/>
    <col min="36" max="36" width="21.44140625" bestFit="1" customWidth="1"/>
    <col min="37" max="37" width="21.109375" bestFit="1" customWidth="1"/>
    <col min="38" max="38" width="34.44140625" bestFit="1" customWidth="1"/>
  </cols>
  <sheetData>
    <row r="1" spans="1:11" s="1" customFormat="1" x14ac:dyDescent="0.3"/>
    <row r="2" spans="1:11" s="1" customFormat="1" x14ac:dyDescent="0.3">
      <c r="D2" s="6"/>
      <c r="E2" s="6"/>
      <c r="F2" s="6"/>
      <c r="G2" s="6"/>
      <c r="H2" s="6"/>
      <c r="I2" s="6"/>
      <c r="J2" s="6"/>
      <c r="K2" s="6"/>
    </row>
    <row r="3" spans="1:11" s="1" customFormat="1" ht="18.600000000000001" thickBot="1" x14ac:dyDescent="0.4">
      <c r="B3" s="5" t="s">
        <v>28</v>
      </c>
      <c r="C3" s="5"/>
      <c r="D3" s="7"/>
      <c r="E3" s="7"/>
      <c r="F3" s="6"/>
      <c r="G3" s="6"/>
      <c r="H3" s="6"/>
      <c r="I3" s="6"/>
      <c r="J3" s="6"/>
      <c r="K3" s="6"/>
    </row>
    <row r="4" spans="1:11" s="1" customFormat="1" ht="15" thickTop="1" x14ac:dyDescent="0.3"/>
    <row r="5" spans="1:11" s="1" customFormat="1" x14ac:dyDescent="0.3">
      <c r="B5" s="57" t="s">
        <v>29</v>
      </c>
      <c r="C5" s="57"/>
      <c r="D5" s="57"/>
      <c r="E5" s="57"/>
      <c r="F5" s="57"/>
      <c r="G5" s="57"/>
      <c r="H5" s="57"/>
      <c r="I5" s="57"/>
      <c r="J5" s="57"/>
    </row>
    <row r="6" spans="1:11" s="1" customFormat="1" x14ac:dyDescent="0.3">
      <c r="B6" s="57" t="s">
        <v>30</v>
      </c>
      <c r="C6" s="57"/>
      <c r="D6" s="57"/>
      <c r="E6" s="57"/>
      <c r="F6" s="57"/>
      <c r="G6" s="57"/>
      <c r="H6" s="57"/>
      <c r="I6" s="57"/>
      <c r="J6" s="57"/>
    </row>
    <row r="7" spans="1:11" x14ac:dyDescent="0.3">
      <c r="G7" s="4"/>
    </row>
    <row r="10" spans="1:11" x14ac:dyDescent="0.3">
      <c r="A10" s="2" t="s">
        <v>2</v>
      </c>
      <c r="B10" s="2" t="s">
        <v>32</v>
      </c>
      <c r="C10" s="19" t="s">
        <v>3</v>
      </c>
      <c r="D10" s="19" t="s">
        <v>43</v>
      </c>
      <c r="E10" s="19" t="s">
        <v>4</v>
      </c>
    </row>
    <row r="11" spans="1:11" x14ac:dyDescent="0.3">
      <c r="A11" s="24" t="s">
        <v>0</v>
      </c>
      <c r="B11" s="3">
        <v>46266</v>
      </c>
      <c r="C11" s="21" t="s">
        <v>50</v>
      </c>
      <c r="D11" s="21" t="s">
        <v>81</v>
      </c>
      <c r="E11" s="27">
        <v>1632</v>
      </c>
    </row>
    <row r="12" spans="1:11" x14ac:dyDescent="0.3">
      <c r="A12" s="24" t="s">
        <v>1</v>
      </c>
      <c r="B12" s="3">
        <v>46267</v>
      </c>
      <c r="C12" s="24" t="s">
        <v>20</v>
      </c>
      <c r="D12" s="3" t="s">
        <v>82</v>
      </c>
      <c r="E12" s="27">
        <v>-43.79</v>
      </c>
    </row>
    <row r="13" spans="1:11" x14ac:dyDescent="0.3">
      <c r="A13" s="21" t="s">
        <v>1</v>
      </c>
      <c r="B13" s="20">
        <v>46267</v>
      </c>
      <c r="C13" s="21" t="s">
        <v>49</v>
      </c>
      <c r="D13" s="20" t="s">
        <v>42</v>
      </c>
      <c r="E13" s="28">
        <v>-800</v>
      </c>
    </row>
    <row r="14" spans="1:11" x14ac:dyDescent="0.3">
      <c r="A14" s="24" t="s">
        <v>0</v>
      </c>
      <c r="B14" s="3">
        <v>46268</v>
      </c>
      <c r="C14" s="21" t="s">
        <v>50</v>
      </c>
      <c r="D14" s="21" t="s">
        <v>83</v>
      </c>
      <c r="E14" s="27">
        <v>2864</v>
      </c>
    </row>
    <row r="15" spans="1:11" x14ac:dyDescent="0.3">
      <c r="A15" s="24" t="s">
        <v>0</v>
      </c>
      <c r="B15" s="20">
        <v>46268</v>
      </c>
      <c r="C15" s="21" t="s">
        <v>84</v>
      </c>
      <c r="D15" s="3" t="s">
        <v>85</v>
      </c>
      <c r="E15" s="27">
        <v>5770</v>
      </c>
    </row>
    <row r="16" spans="1:11" x14ac:dyDescent="0.3">
      <c r="A16" s="24" t="s">
        <v>0</v>
      </c>
      <c r="B16" s="3">
        <v>46269</v>
      </c>
      <c r="C16" s="21" t="s">
        <v>50</v>
      </c>
      <c r="D16" s="21" t="s">
        <v>86</v>
      </c>
      <c r="E16" s="27">
        <v>1879</v>
      </c>
    </row>
    <row r="17" spans="1:5" x14ac:dyDescent="0.3">
      <c r="A17" s="24" t="s">
        <v>0</v>
      </c>
      <c r="B17" s="20">
        <v>46269</v>
      </c>
      <c r="C17" s="21" t="s">
        <v>87</v>
      </c>
      <c r="D17" s="21" t="s">
        <v>51</v>
      </c>
      <c r="E17" s="27">
        <v>1200</v>
      </c>
    </row>
    <row r="18" spans="1:5" x14ac:dyDescent="0.3">
      <c r="A18" s="24" t="s">
        <v>1</v>
      </c>
      <c r="B18" s="3">
        <v>46269</v>
      </c>
      <c r="C18" s="21" t="s">
        <v>59</v>
      </c>
      <c r="D18" s="3" t="s">
        <v>88</v>
      </c>
      <c r="E18" s="27">
        <v>-4261</v>
      </c>
    </row>
    <row r="19" spans="1:5" x14ac:dyDescent="0.3">
      <c r="A19" s="24" t="s">
        <v>1</v>
      </c>
      <c r="B19" s="3">
        <v>46269</v>
      </c>
      <c r="C19" s="21" t="s">
        <v>59</v>
      </c>
      <c r="D19" s="3" t="s">
        <v>89</v>
      </c>
      <c r="E19" s="27">
        <v>1999</v>
      </c>
    </row>
    <row r="20" spans="1:5" x14ac:dyDescent="0.3">
      <c r="A20" s="24" t="s">
        <v>1</v>
      </c>
      <c r="B20" s="3">
        <v>46269</v>
      </c>
      <c r="C20" s="21" t="s">
        <v>59</v>
      </c>
      <c r="D20" s="3" t="s">
        <v>90</v>
      </c>
      <c r="E20" s="27">
        <v>-2273</v>
      </c>
    </row>
    <row r="21" spans="1:5" x14ac:dyDescent="0.3">
      <c r="A21" s="24" t="s">
        <v>1</v>
      </c>
      <c r="B21" s="3">
        <v>46269</v>
      </c>
      <c r="C21" s="21" t="s">
        <v>59</v>
      </c>
      <c r="D21" s="3" t="s">
        <v>91</v>
      </c>
      <c r="E21" s="27">
        <v>-3049</v>
      </c>
    </row>
    <row r="22" spans="1:5" x14ac:dyDescent="0.3">
      <c r="A22" s="24" t="s">
        <v>1</v>
      </c>
      <c r="B22" s="3">
        <v>46269</v>
      </c>
      <c r="C22" s="21" t="s">
        <v>59</v>
      </c>
      <c r="D22" s="3" t="s">
        <v>92</v>
      </c>
      <c r="E22" s="27">
        <v>-3584</v>
      </c>
    </row>
    <row r="23" spans="1:5" x14ac:dyDescent="0.3">
      <c r="A23" s="24" t="s">
        <v>1</v>
      </c>
      <c r="B23" s="3">
        <v>46269</v>
      </c>
      <c r="C23" s="21" t="s">
        <v>59</v>
      </c>
      <c r="D23" s="3" t="s">
        <v>93</v>
      </c>
      <c r="E23" s="27">
        <v>-3952</v>
      </c>
    </row>
    <row r="24" spans="1:5" x14ac:dyDescent="0.3">
      <c r="A24" s="24" t="s">
        <v>1</v>
      </c>
      <c r="B24" s="3">
        <v>46269</v>
      </c>
      <c r="C24" s="21" t="s">
        <v>59</v>
      </c>
      <c r="D24" s="3" t="s">
        <v>94</v>
      </c>
      <c r="E24" s="27">
        <v>-3545</v>
      </c>
    </row>
    <row r="25" spans="1:5" x14ac:dyDescent="0.3">
      <c r="A25" s="24" t="s">
        <v>1</v>
      </c>
      <c r="B25" s="3">
        <v>46269</v>
      </c>
      <c r="C25" s="21" t="s">
        <v>59</v>
      </c>
      <c r="D25" s="3" t="s">
        <v>95</v>
      </c>
      <c r="E25" s="27">
        <v>-3023</v>
      </c>
    </row>
    <row r="26" spans="1:5" x14ac:dyDescent="0.3">
      <c r="A26" s="24" t="s">
        <v>1</v>
      </c>
      <c r="B26" s="3">
        <v>46269</v>
      </c>
      <c r="C26" s="21" t="s">
        <v>59</v>
      </c>
      <c r="D26" s="3" t="s">
        <v>96</v>
      </c>
      <c r="E26" s="27">
        <v>-2324</v>
      </c>
    </row>
    <row r="27" spans="1:5" x14ac:dyDescent="0.3">
      <c r="A27" s="24" t="s">
        <v>1</v>
      </c>
      <c r="B27" s="3">
        <v>46269</v>
      </c>
      <c r="C27" s="21" t="s">
        <v>59</v>
      </c>
      <c r="D27" s="20" t="s">
        <v>42</v>
      </c>
      <c r="E27" s="27">
        <v>-2000</v>
      </c>
    </row>
    <row r="28" spans="1:5" x14ac:dyDescent="0.3">
      <c r="A28" s="24" t="s">
        <v>1</v>
      </c>
      <c r="B28" s="3">
        <v>46269</v>
      </c>
      <c r="C28" s="24" t="s">
        <v>20</v>
      </c>
      <c r="D28" s="3" t="s">
        <v>97</v>
      </c>
      <c r="E28" s="27">
        <v>-2.85</v>
      </c>
    </row>
    <row r="29" spans="1:5" x14ac:dyDescent="0.3">
      <c r="A29" s="24" t="s">
        <v>1</v>
      </c>
      <c r="B29" s="3">
        <v>46271</v>
      </c>
      <c r="C29" s="24" t="s">
        <v>20</v>
      </c>
      <c r="D29" s="3" t="s">
        <v>97</v>
      </c>
      <c r="E29" s="27">
        <v>-1.06</v>
      </c>
    </row>
    <row r="30" spans="1:5" x14ac:dyDescent="0.3">
      <c r="A30" s="24" t="s">
        <v>0</v>
      </c>
      <c r="B30" s="3">
        <v>46272</v>
      </c>
      <c r="C30" s="21" t="s">
        <v>50</v>
      </c>
      <c r="D30" s="21" t="s">
        <v>51</v>
      </c>
      <c r="E30" s="27">
        <v>3103</v>
      </c>
    </row>
    <row r="31" spans="1:5" x14ac:dyDescent="0.3">
      <c r="A31" s="24" t="s">
        <v>1</v>
      </c>
      <c r="B31" s="3">
        <v>46272</v>
      </c>
      <c r="C31" s="24" t="s">
        <v>20</v>
      </c>
      <c r="D31" s="3" t="s">
        <v>82</v>
      </c>
      <c r="E31" s="27">
        <v>-43.79</v>
      </c>
    </row>
    <row r="32" spans="1:5" x14ac:dyDescent="0.3">
      <c r="A32" s="24" t="s">
        <v>1</v>
      </c>
      <c r="B32" s="3">
        <v>46272</v>
      </c>
      <c r="C32" s="24" t="s">
        <v>20</v>
      </c>
      <c r="D32" s="3" t="s">
        <v>97</v>
      </c>
      <c r="E32" s="27">
        <v>-50</v>
      </c>
    </row>
    <row r="33" spans="1:5" x14ac:dyDescent="0.3">
      <c r="A33" s="24" t="s">
        <v>1</v>
      </c>
      <c r="B33" s="3">
        <v>46272</v>
      </c>
      <c r="C33" s="24" t="s">
        <v>20</v>
      </c>
      <c r="D33" s="20" t="s">
        <v>98</v>
      </c>
      <c r="E33" s="27">
        <v>-95.84</v>
      </c>
    </row>
    <row r="34" spans="1:5" x14ac:dyDescent="0.3">
      <c r="A34" s="24" t="s">
        <v>0</v>
      </c>
      <c r="B34" s="3">
        <v>46274</v>
      </c>
      <c r="C34" s="21" t="s">
        <v>50</v>
      </c>
      <c r="D34" s="21" t="s">
        <v>99</v>
      </c>
      <c r="E34" s="27">
        <v>4445</v>
      </c>
    </row>
    <row r="35" spans="1:5" x14ac:dyDescent="0.3">
      <c r="A35" s="24" t="s">
        <v>1</v>
      </c>
      <c r="B35" s="3">
        <v>46274</v>
      </c>
      <c r="C35" s="24" t="s">
        <v>20</v>
      </c>
      <c r="D35" s="3" t="s">
        <v>82</v>
      </c>
      <c r="E35" s="27">
        <v>-19</v>
      </c>
    </row>
    <row r="36" spans="1:5" x14ac:dyDescent="0.3">
      <c r="A36" s="24" t="s">
        <v>1</v>
      </c>
      <c r="B36" s="3">
        <v>46274</v>
      </c>
      <c r="C36" s="24" t="s">
        <v>20</v>
      </c>
      <c r="D36" s="20" t="s">
        <v>100</v>
      </c>
      <c r="E36" s="27">
        <v>-96</v>
      </c>
    </row>
    <row r="37" spans="1:5" x14ac:dyDescent="0.3">
      <c r="A37" s="24" t="s">
        <v>0</v>
      </c>
      <c r="B37" s="20">
        <v>46275</v>
      </c>
      <c r="C37" s="21" t="s">
        <v>84</v>
      </c>
      <c r="D37" s="3" t="s">
        <v>101</v>
      </c>
      <c r="E37" s="27">
        <v>6564</v>
      </c>
    </row>
    <row r="38" spans="1:5" x14ac:dyDescent="0.3">
      <c r="A38" s="24" t="s">
        <v>0</v>
      </c>
      <c r="B38" s="20">
        <v>46275</v>
      </c>
      <c r="C38" s="21" t="s">
        <v>84</v>
      </c>
      <c r="D38" s="3" t="s">
        <v>102</v>
      </c>
      <c r="E38" s="27">
        <v>8613</v>
      </c>
    </row>
    <row r="39" spans="1:5" x14ac:dyDescent="0.3">
      <c r="A39" s="24" t="s">
        <v>1</v>
      </c>
      <c r="B39" s="3">
        <v>46275</v>
      </c>
      <c r="C39" s="24" t="s">
        <v>20</v>
      </c>
      <c r="D39" s="3" t="s">
        <v>103</v>
      </c>
      <c r="E39" s="27">
        <v>-82.8</v>
      </c>
    </row>
    <row r="40" spans="1:5" x14ac:dyDescent="0.3">
      <c r="A40" s="24" t="s">
        <v>1</v>
      </c>
      <c r="B40" s="3">
        <v>46275</v>
      </c>
      <c r="C40" s="24" t="s">
        <v>20</v>
      </c>
      <c r="D40" s="3" t="s">
        <v>97</v>
      </c>
      <c r="E40" s="27">
        <v>-2.65</v>
      </c>
    </row>
    <row r="41" spans="1:5" x14ac:dyDescent="0.3">
      <c r="A41" s="21" t="s">
        <v>1</v>
      </c>
      <c r="B41" s="20">
        <v>46275</v>
      </c>
      <c r="C41" s="21" t="s">
        <v>49</v>
      </c>
      <c r="D41" s="20" t="s">
        <v>42</v>
      </c>
      <c r="E41" s="28">
        <v>-1500</v>
      </c>
    </row>
    <row r="42" spans="1:5" x14ac:dyDescent="0.3">
      <c r="A42" s="24" t="s">
        <v>1</v>
      </c>
      <c r="B42" s="3">
        <v>46276</v>
      </c>
      <c r="C42" s="24" t="s">
        <v>20</v>
      </c>
      <c r="D42" s="3" t="s">
        <v>103</v>
      </c>
      <c r="E42" s="27">
        <v>-37</v>
      </c>
    </row>
    <row r="43" spans="1:5" x14ac:dyDescent="0.3">
      <c r="A43" s="24" t="s">
        <v>0</v>
      </c>
      <c r="B43" s="20">
        <v>46277</v>
      </c>
      <c r="C43" s="21" t="s">
        <v>84</v>
      </c>
      <c r="D43" s="3" t="s">
        <v>104</v>
      </c>
      <c r="E43" s="27">
        <v>6107</v>
      </c>
    </row>
    <row r="44" spans="1:5" x14ac:dyDescent="0.3">
      <c r="A44" s="24" t="s">
        <v>1</v>
      </c>
      <c r="B44" s="3">
        <v>46277</v>
      </c>
      <c r="C44" s="24" t="s">
        <v>20</v>
      </c>
      <c r="D44" s="3" t="s">
        <v>105</v>
      </c>
      <c r="E44" s="27">
        <v>-9.4</v>
      </c>
    </row>
    <row r="45" spans="1:5" x14ac:dyDescent="0.3">
      <c r="A45" s="24" t="s">
        <v>0</v>
      </c>
      <c r="B45" s="20">
        <v>46278</v>
      </c>
      <c r="C45" s="21" t="s">
        <v>87</v>
      </c>
      <c r="D45" s="3" t="s">
        <v>106</v>
      </c>
      <c r="E45" s="27">
        <v>331</v>
      </c>
    </row>
    <row r="46" spans="1:5" x14ac:dyDescent="0.3">
      <c r="A46" s="24" t="s">
        <v>0</v>
      </c>
      <c r="B46" s="20">
        <v>46279</v>
      </c>
      <c r="C46" s="21" t="s">
        <v>87</v>
      </c>
      <c r="D46" s="3" t="s">
        <v>107</v>
      </c>
      <c r="E46" s="27">
        <v>143</v>
      </c>
    </row>
    <row r="47" spans="1:5" x14ac:dyDescent="0.3">
      <c r="A47" s="24" t="s">
        <v>1</v>
      </c>
      <c r="B47" s="3">
        <v>46279</v>
      </c>
      <c r="C47" s="24" t="s">
        <v>20</v>
      </c>
      <c r="D47" s="3" t="s">
        <v>97</v>
      </c>
      <c r="E47" s="27">
        <v>-0.57999999999999996</v>
      </c>
    </row>
    <row r="48" spans="1:5" x14ac:dyDescent="0.3">
      <c r="A48" s="24" t="s">
        <v>1</v>
      </c>
      <c r="B48" s="3">
        <v>46279</v>
      </c>
      <c r="C48" s="24" t="s">
        <v>20</v>
      </c>
      <c r="D48" s="20" t="s">
        <v>108</v>
      </c>
      <c r="E48" s="27">
        <v>-74.05</v>
      </c>
    </row>
    <row r="49" spans="1:5" x14ac:dyDescent="0.3">
      <c r="A49" s="24" t="s">
        <v>1</v>
      </c>
      <c r="B49" s="3">
        <v>46280</v>
      </c>
      <c r="C49" s="21" t="s">
        <v>109</v>
      </c>
      <c r="D49" s="20" t="s">
        <v>110</v>
      </c>
      <c r="E49" s="27">
        <v>-105</v>
      </c>
    </row>
    <row r="50" spans="1:5" x14ac:dyDescent="0.3">
      <c r="A50" s="24" t="s">
        <v>1</v>
      </c>
      <c r="B50" s="3">
        <v>46280</v>
      </c>
      <c r="C50" s="21" t="s">
        <v>109</v>
      </c>
      <c r="D50" s="20" t="s">
        <v>111</v>
      </c>
      <c r="E50" s="27">
        <v>-404</v>
      </c>
    </row>
    <row r="51" spans="1:5" x14ac:dyDescent="0.3">
      <c r="A51" s="24" t="s">
        <v>1</v>
      </c>
      <c r="B51" s="3">
        <v>46280</v>
      </c>
      <c r="C51" s="21" t="s">
        <v>55</v>
      </c>
      <c r="D51" s="20" t="s">
        <v>56</v>
      </c>
      <c r="E51" s="27">
        <v>-100</v>
      </c>
    </row>
    <row r="52" spans="1:5" x14ac:dyDescent="0.3">
      <c r="A52" s="24" t="s">
        <v>1</v>
      </c>
      <c r="B52" s="3">
        <v>46280</v>
      </c>
      <c r="C52" s="24" t="s">
        <v>112</v>
      </c>
      <c r="D52" s="3" t="s">
        <v>113</v>
      </c>
      <c r="E52" s="27">
        <v>-773</v>
      </c>
    </row>
    <row r="53" spans="1:5" x14ac:dyDescent="0.3">
      <c r="A53" s="24" t="s">
        <v>1</v>
      </c>
      <c r="B53" s="3">
        <v>46280</v>
      </c>
      <c r="C53" s="24" t="s">
        <v>114</v>
      </c>
      <c r="D53" s="3" t="s">
        <v>115</v>
      </c>
      <c r="E53" s="27">
        <v>-427</v>
      </c>
    </row>
    <row r="54" spans="1:5" x14ac:dyDescent="0.3">
      <c r="A54" s="24" t="s">
        <v>1</v>
      </c>
      <c r="B54" s="3">
        <v>46280</v>
      </c>
      <c r="C54" s="21" t="s">
        <v>114</v>
      </c>
      <c r="D54" s="3" t="s">
        <v>116</v>
      </c>
      <c r="E54" s="27">
        <v>-602</v>
      </c>
    </row>
    <row r="55" spans="1:5" x14ac:dyDescent="0.3">
      <c r="A55" s="24" t="s">
        <v>1</v>
      </c>
      <c r="B55" s="3">
        <v>46280</v>
      </c>
      <c r="C55" s="24" t="s">
        <v>20</v>
      </c>
      <c r="D55" s="20" t="s">
        <v>117</v>
      </c>
      <c r="E55" s="27">
        <v>-16</v>
      </c>
    </row>
    <row r="56" spans="1:5" x14ac:dyDescent="0.3">
      <c r="A56" s="21" t="s">
        <v>1</v>
      </c>
      <c r="B56" s="20">
        <v>46280</v>
      </c>
      <c r="C56" s="21" t="s">
        <v>49</v>
      </c>
      <c r="D56" s="20" t="s">
        <v>42</v>
      </c>
      <c r="E56" s="28">
        <v>-1500</v>
      </c>
    </row>
    <row r="57" spans="1:5" x14ac:dyDescent="0.3">
      <c r="A57" s="24" t="s">
        <v>0</v>
      </c>
      <c r="B57" s="20">
        <v>46281</v>
      </c>
      <c r="C57" s="21" t="s">
        <v>87</v>
      </c>
      <c r="D57" s="3" t="s">
        <v>118</v>
      </c>
      <c r="E57" s="27">
        <v>886</v>
      </c>
    </row>
    <row r="58" spans="1:5" x14ac:dyDescent="0.3">
      <c r="A58" s="24" t="s">
        <v>1</v>
      </c>
      <c r="B58" s="3">
        <v>46281</v>
      </c>
      <c r="C58" s="24" t="s">
        <v>119</v>
      </c>
      <c r="D58" s="3" t="s">
        <v>120</v>
      </c>
      <c r="E58" s="27">
        <v>-99</v>
      </c>
    </row>
    <row r="59" spans="1:5" x14ac:dyDescent="0.3">
      <c r="A59" s="24" t="s">
        <v>1</v>
      </c>
      <c r="B59" s="3">
        <v>46281</v>
      </c>
      <c r="C59" s="21" t="s">
        <v>121</v>
      </c>
      <c r="D59" s="3" t="s">
        <v>122</v>
      </c>
      <c r="E59" s="27">
        <v>-587</v>
      </c>
    </row>
    <row r="60" spans="1:5" x14ac:dyDescent="0.3">
      <c r="A60" s="24" t="s">
        <v>1</v>
      </c>
      <c r="B60" s="3">
        <v>46283</v>
      </c>
      <c r="C60" s="24" t="s">
        <v>112</v>
      </c>
      <c r="D60" s="3" t="s">
        <v>123</v>
      </c>
      <c r="E60" s="27">
        <v>-485</v>
      </c>
    </row>
    <row r="61" spans="1:5" x14ac:dyDescent="0.3">
      <c r="A61" s="24" t="s">
        <v>1</v>
      </c>
      <c r="B61" s="3">
        <v>46284</v>
      </c>
      <c r="C61" s="24" t="s">
        <v>119</v>
      </c>
      <c r="D61" s="3" t="s">
        <v>124</v>
      </c>
      <c r="E61" s="27">
        <v>-10</v>
      </c>
    </row>
    <row r="62" spans="1:5" x14ac:dyDescent="0.3">
      <c r="A62" s="24" t="s">
        <v>1</v>
      </c>
      <c r="B62" s="3">
        <v>46284</v>
      </c>
      <c r="C62" s="25" t="s">
        <v>20</v>
      </c>
      <c r="D62" s="3" t="s">
        <v>82</v>
      </c>
      <c r="E62" s="27">
        <v>-43.79</v>
      </c>
    </row>
    <row r="63" spans="1:5" x14ac:dyDescent="0.3">
      <c r="A63" s="24" t="s">
        <v>1</v>
      </c>
      <c r="B63" s="3">
        <v>46284</v>
      </c>
      <c r="C63" s="24" t="s">
        <v>20</v>
      </c>
      <c r="D63" s="3" t="s">
        <v>82</v>
      </c>
      <c r="E63" s="27">
        <v>-99</v>
      </c>
    </row>
    <row r="64" spans="1:5" x14ac:dyDescent="0.3">
      <c r="A64" s="24" t="s">
        <v>1</v>
      </c>
      <c r="B64" s="3">
        <v>46284</v>
      </c>
      <c r="C64" s="24" t="s">
        <v>20</v>
      </c>
      <c r="D64" s="3" t="s">
        <v>97</v>
      </c>
      <c r="E64" s="27">
        <v>-0.45</v>
      </c>
    </row>
    <row r="65" spans="1:5" x14ac:dyDescent="0.3">
      <c r="A65" s="24" t="s">
        <v>1</v>
      </c>
      <c r="B65" s="3">
        <v>46284</v>
      </c>
      <c r="C65" s="24" t="s">
        <v>20</v>
      </c>
      <c r="D65" s="3" t="s">
        <v>97</v>
      </c>
      <c r="E65" s="27">
        <v>-2.65</v>
      </c>
    </row>
    <row r="66" spans="1:5" x14ac:dyDescent="0.3">
      <c r="A66" s="24" t="s">
        <v>0</v>
      </c>
      <c r="B66" s="20">
        <v>46285</v>
      </c>
      <c r="C66" s="21" t="s">
        <v>125</v>
      </c>
      <c r="D66" s="20" t="s">
        <v>126</v>
      </c>
      <c r="E66" s="27">
        <v>-2.4</v>
      </c>
    </row>
    <row r="67" spans="1:5" x14ac:dyDescent="0.3">
      <c r="A67" s="24" t="s">
        <v>0</v>
      </c>
      <c r="B67" s="3">
        <v>46285</v>
      </c>
      <c r="C67" s="21" t="s">
        <v>50</v>
      </c>
      <c r="D67" s="21" t="s">
        <v>127</v>
      </c>
      <c r="E67" s="27">
        <v>2345</v>
      </c>
    </row>
    <row r="68" spans="1:5" x14ac:dyDescent="0.3">
      <c r="A68" s="24" t="s">
        <v>1</v>
      </c>
      <c r="B68" s="3">
        <v>46285</v>
      </c>
      <c r="C68" s="24" t="s">
        <v>128</v>
      </c>
      <c r="D68" s="3" t="s">
        <v>99</v>
      </c>
      <c r="E68" s="27">
        <v>-2000</v>
      </c>
    </row>
    <row r="69" spans="1:5" x14ac:dyDescent="0.3">
      <c r="A69" s="24" t="s">
        <v>1</v>
      </c>
      <c r="B69" s="3">
        <v>46285</v>
      </c>
      <c r="C69" s="24" t="s">
        <v>20</v>
      </c>
      <c r="D69" s="20" t="s">
        <v>129</v>
      </c>
      <c r="E69" s="27">
        <v>-73</v>
      </c>
    </row>
    <row r="70" spans="1:5" x14ac:dyDescent="0.3">
      <c r="A70" s="24" t="s">
        <v>1</v>
      </c>
      <c r="B70" s="3">
        <v>46285</v>
      </c>
      <c r="C70" s="21" t="s">
        <v>130</v>
      </c>
      <c r="D70" s="20" t="s">
        <v>131</v>
      </c>
      <c r="E70" s="27">
        <v>-200</v>
      </c>
    </row>
    <row r="71" spans="1:5" x14ac:dyDescent="0.3">
      <c r="A71" s="24" t="s">
        <v>1</v>
      </c>
      <c r="B71" s="3">
        <v>46285</v>
      </c>
      <c r="C71" s="21" t="s">
        <v>130</v>
      </c>
      <c r="D71" s="20" t="s">
        <v>132</v>
      </c>
      <c r="E71" s="27">
        <v>-186</v>
      </c>
    </row>
    <row r="72" spans="1:5" x14ac:dyDescent="0.3">
      <c r="A72" s="24" t="s">
        <v>1</v>
      </c>
      <c r="B72" s="3">
        <v>46285</v>
      </c>
      <c r="C72" s="21" t="s">
        <v>133</v>
      </c>
      <c r="D72" s="20" t="s">
        <v>134</v>
      </c>
      <c r="E72" s="27">
        <v>-50</v>
      </c>
    </row>
    <row r="73" spans="1:5" x14ac:dyDescent="0.3">
      <c r="A73" s="24" t="s">
        <v>0</v>
      </c>
      <c r="B73" s="3">
        <v>46286</v>
      </c>
      <c r="C73" s="21" t="s">
        <v>50</v>
      </c>
      <c r="D73" s="21" t="s">
        <v>135</v>
      </c>
      <c r="E73" s="27">
        <v>1113</v>
      </c>
    </row>
    <row r="74" spans="1:5" x14ac:dyDescent="0.3">
      <c r="A74" s="24" t="s">
        <v>0</v>
      </c>
      <c r="B74" s="20">
        <v>46286</v>
      </c>
      <c r="C74" s="21" t="s">
        <v>87</v>
      </c>
      <c r="D74" s="3" t="s">
        <v>136</v>
      </c>
      <c r="E74" s="27">
        <v>929</v>
      </c>
    </row>
    <row r="75" spans="1:5" x14ac:dyDescent="0.3">
      <c r="A75" s="24" t="s">
        <v>1</v>
      </c>
      <c r="B75" s="3">
        <v>46286</v>
      </c>
      <c r="C75" s="24" t="s">
        <v>114</v>
      </c>
      <c r="D75" s="3" t="s">
        <v>137</v>
      </c>
      <c r="E75" s="27">
        <v>-353</v>
      </c>
    </row>
    <row r="76" spans="1:5" x14ac:dyDescent="0.3">
      <c r="A76" s="24" t="s">
        <v>1</v>
      </c>
      <c r="B76" s="3">
        <v>46286</v>
      </c>
      <c r="C76" s="24" t="s">
        <v>20</v>
      </c>
      <c r="D76" s="3" t="s">
        <v>82</v>
      </c>
      <c r="E76" s="27">
        <v>-43.79</v>
      </c>
    </row>
    <row r="77" spans="1:5" x14ac:dyDescent="0.3">
      <c r="A77" s="24" t="s">
        <v>1</v>
      </c>
      <c r="B77" s="3">
        <v>46287</v>
      </c>
      <c r="C77" s="21" t="s">
        <v>109</v>
      </c>
      <c r="D77" s="20" t="s">
        <v>138</v>
      </c>
      <c r="E77" s="27">
        <v>-194</v>
      </c>
    </row>
    <row r="78" spans="1:5" x14ac:dyDescent="0.3">
      <c r="A78" s="24" t="s">
        <v>1</v>
      </c>
      <c r="B78" s="3">
        <v>46287</v>
      </c>
      <c r="C78" s="24" t="s">
        <v>114</v>
      </c>
      <c r="D78" s="3" t="s">
        <v>139</v>
      </c>
      <c r="E78" s="27">
        <v>-590</v>
      </c>
    </row>
    <row r="79" spans="1:5" x14ac:dyDescent="0.3">
      <c r="A79" s="24" t="s">
        <v>0</v>
      </c>
      <c r="B79" s="20">
        <v>46288</v>
      </c>
      <c r="C79" s="21" t="s">
        <v>87</v>
      </c>
      <c r="D79" s="3" t="s">
        <v>140</v>
      </c>
      <c r="E79" s="27">
        <v>493</v>
      </c>
    </row>
    <row r="80" spans="1:5" x14ac:dyDescent="0.3">
      <c r="A80" s="24" t="s">
        <v>0</v>
      </c>
      <c r="B80" s="20">
        <v>46288</v>
      </c>
      <c r="C80" s="21" t="s">
        <v>84</v>
      </c>
      <c r="D80" s="20" t="s">
        <v>141</v>
      </c>
      <c r="E80" s="27">
        <v>9890</v>
      </c>
    </row>
    <row r="81" spans="1:5" x14ac:dyDescent="0.3">
      <c r="A81" s="24" t="s">
        <v>1</v>
      </c>
      <c r="B81" s="3">
        <v>46288</v>
      </c>
      <c r="C81" s="21" t="s">
        <v>109</v>
      </c>
      <c r="D81" s="20" t="s">
        <v>142</v>
      </c>
      <c r="E81" s="27">
        <v>-396</v>
      </c>
    </row>
    <row r="82" spans="1:5" x14ac:dyDescent="0.3">
      <c r="A82" s="24" t="s">
        <v>0</v>
      </c>
      <c r="B82" s="20">
        <v>46289</v>
      </c>
      <c r="C82" s="21" t="s">
        <v>87</v>
      </c>
      <c r="D82" s="3" t="s">
        <v>143</v>
      </c>
      <c r="E82" s="27">
        <v>613</v>
      </c>
    </row>
    <row r="83" spans="1:5" x14ac:dyDescent="0.3">
      <c r="A83" s="24" t="s">
        <v>1</v>
      </c>
      <c r="B83" s="3">
        <v>46289</v>
      </c>
      <c r="C83" s="21" t="s">
        <v>109</v>
      </c>
      <c r="D83" s="20" t="s">
        <v>144</v>
      </c>
      <c r="E83" s="27">
        <v>-412</v>
      </c>
    </row>
    <row r="84" spans="1:5" x14ac:dyDescent="0.3">
      <c r="A84" s="24" t="s">
        <v>1</v>
      </c>
      <c r="B84" s="3">
        <v>46289</v>
      </c>
      <c r="C84" s="24" t="s">
        <v>112</v>
      </c>
      <c r="D84" s="3" t="s">
        <v>145</v>
      </c>
      <c r="E84" s="27">
        <v>-463</v>
      </c>
    </row>
    <row r="85" spans="1:5" x14ac:dyDescent="0.3">
      <c r="A85" s="24" t="s">
        <v>1</v>
      </c>
      <c r="B85" s="3">
        <v>46289</v>
      </c>
      <c r="C85" s="21" t="s">
        <v>109</v>
      </c>
      <c r="D85" s="20" t="s">
        <v>146</v>
      </c>
      <c r="E85" s="27">
        <v>-324</v>
      </c>
    </row>
    <row r="86" spans="1:5" x14ac:dyDescent="0.3">
      <c r="A86" s="24" t="s">
        <v>1</v>
      </c>
      <c r="B86" s="3">
        <v>46289</v>
      </c>
      <c r="C86" s="24" t="s">
        <v>20</v>
      </c>
      <c r="D86" s="3" t="s">
        <v>82</v>
      </c>
      <c r="E86" s="27">
        <v>-87</v>
      </c>
    </row>
    <row r="87" spans="1:5" x14ac:dyDescent="0.3">
      <c r="A87" s="24" t="s">
        <v>1</v>
      </c>
      <c r="B87" s="3">
        <v>46289</v>
      </c>
      <c r="C87" s="24" t="s">
        <v>20</v>
      </c>
      <c r="D87" s="3" t="s">
        <v>97</v>
      </c>
      <c r="E87" s="27">
        <v>-70</v>
      </c>
    </row>
    <row r="88" spans="1:5" x14ac:dyDescent="0.3">
      <c r="A88" s="24" t="s">
        <v>1</v>
      </c>
      <c r="B88" s="3">
        <v>46289</v>
      </c>
      <c r="C88" s="24" t="s">
        <v>20</v>
      </c>
      <c r="D88" s="3" t="s">
        <v>105</v>
      </c>
      <c r="E88" s="27">
        <v>-29.08</v>
      </c>
    </row>
    <row r="89" spans="1:5" x14ac:dyDescent="0.3">
      <c r="A89" s="24" t="s">
        <v>1</v>
      </c>
      <c r="B89" s="3">
        <v>46289</v>
      </c>
      <c r="C89" s="24" t="s">
        <v>20</v>
      </c>
      <c r="D89" s="3" t="s">
        <v>105</v>
      </c>
      <c r="E89" s="27">
        <v>-20.14</v>
      </c>
    </row>
    <row r="90" spans="1:5" x14ac:dyDescent="0.3">
      <c r="A90" s="24" t="s">
        <v>0</v>
      </c>
      <c r="B90" s="3">
        <v>46290</v>
      </c>
      <c r="C90" s="21" t="s">
        <v>50</v>
      </c>
      <c r="D90" s="21" t="s">
        <v>86</v>
      </c>
      <c r="E90" s="27">
        <v>1015</v>
      </c>
    </row>
    <row r="91" spans="1:5" x14ac:dyDescent="0.3">
      <c r="A91" s="24" t="s">
        <v>0</v>
      </c>
      <c r="B91" s="3">
        <v>46290</v>
      </c>
      <c r="C91" s="21" t="s">
        <v>50</v>
      </c>
      <c r="D91" s="21" t="s">
        <v>135</v>
      </c>
      <c r="E91" s="27">
        <v>4909</v>
      </c>
    </row>
    <row r="92" spans="1:5" x14ac:dyDescent="0.3">
      <c r="A92" s="24" t="s">
        <v>1</v>
      </c>
      <c r="B92" s="3">
        <v>46290</v>
      </c>
      <c r="C92" s="24" t="s">
        <v>112</v>
      </c>
      <c r="D92" s="3" t="s">
        <v>147</v>
      </c>
      <c r="E92" s="27">
        <v>-328</v>
      </c>
    </row>
    <row r="93" spans="1:5" x14ac:dyDescent="0.3">
      <c r="A93" s="24" t="s">
        <v>1</v>
      </c>
      <c r="B93" s="3">
        <v>46290</v>
      </c>
      <c r="C93" s="21" t="s">
        <v>121</v>
      </c>
      <c r="D93" s="3" t="s">
        <v>148</v>
      </c>
      <c r="E93" s="27">
        <v>-545</v>
      </c>
    </row>
    <row r="94" spans="1:5" x14ac:dyDescent="0.3">
      <c r="A94" s="24" t="s">
        <v>0</v>
      </c>
      <c r="B94" s="20">
        <v>46291</v>
      </c>
      <c r="C94" s="21" t="s">
        <v>84</v>
      </c>
      <c r="D94" s="3" t="s">
        <v>149</v>
      </c>
      <c r="E94" s="27">
        <v>7956</v>
      </c>
    </row>
    <row r="95" spans="1:5" x14ac:dyDescent="0.3">
      <c r="A95" s="24" t="s">
        <v>1</v>
      </c>
      <c r="B95" s="3">
        <v>46291</v>
      </c>
      <c r="C95" s="24" t="s">
        <v>20</v>
      </c>
      <c r="D95" s="3" t="s">
        <v>103</v>
      </c>
      <c r="E95" s="27">
        <v>-80</v>
      </c>
    </row>
    <row r="96" spans="1:5" x14ac:dyDescent="0.3">
      <c r="A96" s="24" t="s">
        <v>1</v>
      </c>
      <c r="B96" s="3">
        <v>46292</v>
      </c>
      <c r="C96" s="24" t="s">
        <v>20</v>
      </c>
      <c r="D96" s="3" t="s">
        <v>82</v>
      </c>
      <c r="E96" s="27">
        <v>-75.91</v>
      </c>
    </row>
    <row r="97" spans="1:5" x14ac:dyDescent="0.3">
      <c r="A97" s="24" t="s">
        <v>1</v>
      </c>
      <c r="B97" s="3">
        <v>46292</v>
      </c>
      <c r="C97" s="24" t="s">
        <v>20</v>
      </c>
      <c r="D97" s="3" t="s">
        <v>105</v>
      </c>
      <c r="E97" s="27">
        <v>-66.72</v>
      </c>
    </row>
    <row r="98" spans="1:5" x14ac:dyDescent="0.3">
      <c r="A98" s="24" t="s">
        <v>0</v>
      </c>
      <c r="B98" s="3">
        <v>46293</v>
      </c>
      <c r="C98" s="21" t="s">
        <v>50</v>
      </c>
      <c r="D98" s="21" t="s">
        <v>135</v>
      </c>
      <c r="E98" s="27">
        <v>4566</v>
      </c>
    </row>
    <row r="99" spans="1:5" x14ac:dyDescent="0.3">
      <c r="A99" s="24" t="s">
        <v>1</v>
      </c>
      <c r="B99" s="3">
        <v>46293</v>
      </c>
      <c r="C99" s="24" t="s">
        <v>20</v>
      </c>
      <c r="D99" s="20" t="s">
        <v>150</v>
      </c>
      <c r="E99" s="27">
        <v>-95</v>
      </c>
    </row>
    <row r="100" spans="1:5" x14ac:dyDescent="0.3">
      <c r="A100" s="24" t="s">
        <v>1</v>
      </c>
      <c r="B100" s="3">
        <v>46293</v>
      </c>
      <c r="C100" s="24" t="s">
        <v>20</v>
      </c>
      <c r="D100" s="3" t="s">
        <v>82</v>
      </c>
      <c r="E100" s="27">
        <v>-98</v>
      </c>
    </row>
    <row r="101" spans="1:5" x14ac:dyDescent="0.3">
      <c r="A101" s="24" t="s">
        <v>1</v>
      </c>
      <c r="B101" s="3">
        <v>46294</v>
      </c>
      <c r="C101" s="24" t="s">
        <v>20</v>
      </c>
      <c r="D101" s="3" t="s">
        <v>97</v>
      </c>
      <c r="E101" s="27">
        <v>-5.3</v>
      </c>
    </row>
    <row r="102" spans="1:5" x14ac:dyDescent="0.3">
      <c r="A102" s="25" t="s">
        <v>0</v>
      </c>
      <c r="B102" s="23">
        <v>46295</v>
      </c>
      <c r="C102" s="26" t="s">
        <v>84</v>
      </c>
      <c r="D102" s="20" t="s">
        <v>141</v>
      </c>
      <c r="E102" s="29">
        <v>9562</v>
      </c>
    </row>
    <row r="103" spans="1:5" x14ac:dyDescent="0.3">
      <c r="A103" s="25" t="s">
        <v>1</v>
      </c>
      <c r="B103" s="22">
        <v>46295</v>
      </c>
      <c r="C103" s="26" t="s">
        <v>151</v>
      </c>
      <c r="D103" s="20" t="s">
        <v>42</v>
      </c>
      <c r="E103" s="29">
        <v>-500</v>
      </c>
    </row>
    <row r="104" spans="1:5" x14ac:dyDescent="0.3">
      <c r="A104" s="25" t="s">
        <v>1</v>
      </c>
      <c r="B104" s="22">
        <v>46295</v>
      </c>
      <c r="C104" s="25" t="s">
        <v>20</v>
      </c>
      <c r="D104" s="3" t="s">
        <v>105</v>
      </c>
      <c r="E104" s="29">
        <v>-1.8</v>
      </c>
    </row>
  </sheetData>
  <mergeCells count="2">
    <mergeCell ref="B5:J5"/>
    <mergeCell ref="B6:J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EDF35-2947-4090-B139-C7223C697087}">
  <sheetPr codeName="Planilha5"/>
  <dimension ref="A1:V29"/>
  <sheetViews>
    <sheetView showGridLines="0" zoomScaleNormal="100" workbookViewId="0">
      <pane ySplit="2" topLeftCell="A5" activePane="bottomLeft" state="frozen"/>
      <selection pane="bottomLeft"/>
    </sheetView>
  </sheetViews>
  <sheetFormatPr defaultRowHeight="14.4" x14ac:dyDescent="0.3"/>
  <cols>
    <col min="1" max="1" width="38.88671875" style="56" bestFit="1" customWidth="1"/>
    <col min="2" max="2" width="10.33203125" style="56" bestFit="1" customWidth="1"/>
    <col min="3" max="3" width="16.6640625" style="56" bestFit="1" customWidth="1"/>
    <col min="4" max="4" width="33.77734375" style="56" bestFit="1" customWidth="1"/>
    <col min="5" max="5" width="23.109375" style="56" bestFit="1" customWidth="1"/>
    <col min="6" max="6" width="25.5546875" style="56" bestFit="1" customWidth="1"/>
    <col min="7" max="7" width="24.6640625" style="56" bestFit="1" customWidth="1"/>
    <col min="8" max="9" width="23.109375" style="56" bestFit="1" customWidth="1"/>
    <col min="10" max="10" width="25.5546875" style="56" bestFit="1" customWidth="1"/>
    <col min="11" max="11" width="21.44140625" style="56" bestFit="1" customWidth="1"/>
    <col min="12" max="12" width="21.109375" style="56" bestFit="1" customWidth="1"/>
    <col min="13" max="13" width="75.77734375" style="56" bestFit="1" customWidth="1"/>
    <col min="20" max="20" width="18.88671875" hidden="1" customWidth="1"/>
    <col min="21" max="21" width="8.88671875" hidden="1" customWidth="1"/>
    <col min="22" max="22" width="18.88671875" hidden="1" customWidth="1"/>
  </cols>
  <sheetData>
    <row r="1" spans="1:22" ht="18" x14ac:dyDescent="0.35">
      <c r="A1" s="9" t="s">
        <v>26</v>
      </c>
      <c r="B1" s="10">
        <f>COUNTA(tbl_regras_tabela[Ativo])</f>
        <v>12</v>
      </c>
      <c r="C1" s="64" t="s">
        <v>37</v>
      </c>
      <c r="D1" s="65"/>
      <c r="E1" s="61" t="s">
        <v>38</v>
      </c>
      <c r="F1" s="62"/>
      <c r="G1" s="63"/>
      <c r="H1" s="58" t="s">
        <v>39</v>
      </c>
      <c r="I1" s="59"/>
      <c r="J1" s="59"/>
      <c r="K1" s="59"/>
      <c r="L1" s="60"/>
      <c r="M1" s="15" t="s">
        <v>40</v>
      </c>
    </row>
    <row r="2" spans="1:22" ht="16.2" thickBot="1" x14ac:dyDescent="0.35">
      <c r="A2" s="8" t="s">
        <v>5</v>
      </c>
      <c r="B2" s="8" t="s">
        <v>17</v>
      </c>
      <c r="C2" s="17" t="s">
        <v>6</v>
      </c>
      <c r="D2" s="18" t="s">
        <v>7</v>
      </c>
      <c r="E2" s="12" t="s">
        <v>8</v>
      </c>
      <c r="F2" s="14" t="s">
        <v>19</v>
      </c>
      <c r="G2" s="13" t="s">
        <v>9</v>
      </c>
      <c r="H2" s="12" t="s">
        <v>10</v>
      </c>
      <c r="I2" s="14" t="s">
        <v>31</v>
      </c>
      <c r="J2" s="14" t="s">
        <v>11</v>
      </c>
      <c r="K2" s="14" t="s">
        <v>12</v>
      </c>
      <c r="L2" s="13" t="s">
        <v>13</v>
      </c>
      <c r="M2" s="16" t="s">
        <v>41</v>
      </c>
      <c r="T2" t="s">
        <v>33</v>
      </c>
      <c r="V2" t="s">
        <v>34</v>
      </c>
    </row>
    <row r="3" spans="1:22" x14ac:dyDescent="0.3">
      <c r="A3" s="37" t="s">
        <v>44</v>
      </c>
      <c r="B3" s="38" t="s">
        <v>18</v>
      </c>
      <c r="C3" s="39" t="s">
        <v>43</v>
      </c>
      <c r="D3" s="40" t="s">
        <v>42</v>
      </c>
      <c r="E3" s="41" t="s">
        <v>3</v>
      </c>
      <c r="F3" s="42" t="s">
        <v>22</v>
      </c>
      <c r="G3" s="43" t="s">
        <v>49</v>
      </c>
      <c r="H3" s="39" t="s">
        <v>15</v>
      </c>
      <c r="I3" s="44" t="s">
        <v>4</v>
      </c>
      <c r="J3" s="42" t="s">
        <v>14</v>
      </c>
      <c r="K3" s="42">
        <v>-3000</v>
      </c>
      <c r="L3" s="43" t="s">
        <v>16</v>
      </c>
      <c r="M3" s="45" t="s">
        <v>45</v>
      </c>
      <c r="T3" t="s">
        <v>24</v>
      </c>
      <c r="V3" t="s">
        <v>24</v>
      </c>
    </row>
    <row r="4" spans="1:22" x14ac:dyDescent="0.3">
      <c r="A4" s="37" t="s">
        <v>46</v>
      </c>
      <c r="B4" s="38" t="s">
        <v>18</v>
      </c>
      <c r="C4" s="46" t="s">
        <v>3</v>
      </c>
      <c r="D4" s="47" t="s">
        <v>46</v>
      </c>
      <c r="E4" s="48" t="s">
        <v>3</v>
      </c>
      <c r="F4" s="49" t="s">
        <v>22</v>
      </c>
      <c r="G4" s="50" t="s">
        <v>46</v>
      </c>
      <c r="H4" s="46" t="s">
        <v>47</v>
      </c>
      <c r="I4" s="51" t="s">
        <v>43</v>
      </c>
      <c r="J4" s="49" t="s">
        <v>21</v>
      </c>
      <c r="K4" s="49">
        <v>3</v>
      </c>
      <c r="L4" s="50" t="s">
        <v>16</v>
      </c>
      <c r="M4" s="52" t="s">
        <v>48</v>
      </c>
      <c r="T4" t="s">
        <v>14</v>
      </c>
      <c r="V4" t="s">
        <v>14</v>
      </c>
    </row>
    <row r="5" spans="1:22" x14ac:dyDescent="0.3">
      <c r="A5" s="37" t="s">
        <v>52</v>
      </c>
      <c r="B5" s="38" t="s">
        <v>18</v>
      </c>
      <c r="C5" s="46" t="s">
        <v>3</v>
      </c>
      <c r="D5" s="47" t="s">
        <v>50</v>
      </c>
      <c r="E5" s="48" t="s">
        <v>2</v>
      </c>
      <c r="F5" s="38" t="s">
        <v>22</v>
      </c>
      <c r="G5" s="50" t="s">
        <v>0</v>
      </c>
      <c r="H5" s="46" t="s">
        <v>53</v>
      </c>
      <c r="I5" s="37" t="s">
        <v>4</v>
      </c>
      <c r="J5" s="38" t="s">
        <v>21</v>
      </c>
      <c r="K5" s="38">
        <v>3000</v>
      </c>
      <c r="L5" s="50" t="s">
        <v>16</v>
      </c>
      <c r="M5" s="52" t="s">
        <v>54</v>
      </c>
      <c r="T5" t="s">
        <v>27</v>
      </c>
      <c r="V5" t="s">
        <v>27</v>
      </c>
    </row>
    <row r="6" spans="1:22" x14ac:dyDescent="0.3">
      <c r="A6" s="37" t="s">
        <v>57</v>
      </c>
      <c r="B6" s="38" t="s">
        <v>18</v>
      </c>
      <c r="C6" s="46" t="s">
        <v>43</v>
      </c>
      <c r="D6" s="47" t="s">
        <v>56</v>
      </c>
      <c r="E6" s="48" t="s">
        <v>3</v>
      </c>
      <c r="F6" s="38" t="s">
        <v>24</v>
      </c>
      <c r="G6" s="50" t="s">
        <v>55</v>
      </c>
      <c r="H6" s="46"/>
      <c r="I6" s="37"/>
      <c r="J6" s="38"/>
      <c r="K6" s="38"/>
      <c r="L6" s="50" t="s">
        <v>16</v>
      </c>
      <c r="M6" s="52" t="s">
        <v>58</v>
      </c>
      <c r="T6" t="s">
        <v>21</v>
      </c>
      <c r="V6" t="s">
        <v>21</v>
      </c>
    </row>
    <row r="7" spans="1:22" ht="129.6" x14ac:dyDescent="0.3">
      <c r="A7" s="37" t="s">
        <v>60</v>
      </c>
      <c r="B7" s="38" t="s">
        <v>18</v>
      </c>
      <c r="C7" s="46" t="s">
        <v>3</v>
      </c>
      <c r="D7" s="47" t="s">
        <v>59</v>
      </c>
      <c r="E7" s="48" t="s">
        <v>43</v>
      </c>
      <c r="F7" s="38" t="s">
        <v>14</v>
      </c>
      <c r="G7" s="53" t="s">
        <v>61</v>
      </c>
      <c r="H7" s="46"/>
      <c r="I7" s="37"/>
      <c r="J7" s="38"/>
      <c r="K7" s="38"/>
      <c r="L7" s="50" t="s">
        <v>16</v>
      </c>
      <c r="M7" s="52" t="s">
        <v>62</v>
      </c>
      <c r="T7" t="s">
        <v>35</v>
      </c>
    </row>
    <row r="8" spans="1:22" x14ac:dyDescent="0.3">
      <c r="A8" s="37" t="s">
        <v>63</v>
      </c>
      <c r="B8" s="38" t="s">
        <v>18</v>
      </c>
      <c r="C8" s="46" t="s">
        <v>2</v>
      </c>
      <c r="D8" s="47" t="s">
        <v>1</v>
      </c>
      <c r="E8" s="48" t="s">
        <v>3</v>
      </c>
      <c r="F8" s="38" t="s">
        <v>35</v>
      </c>
      <c r="G8" s="50" t="s">
        <v>77</v>
      </c>
      <c r="H8" s="46"/>
      <c r="I8" s="37"/>
      <c r="J8" s="38"/>
      <c r="K8" s="38"/>
      <c r="L8" s="50" t="s">
        <v>16</v>
      </c>
      <c r="M8" s="52" t="s">
        <v>64</v>
      </c>
      <c r="T8" t="s">
        <v>36</v>
      </c>
    </row>
    <row r="9" spans="1:22" ht="57.6" x14ac:dyDescent="0.3">
      <c r="A9" s="37" t="s">
        <v>65</v>
      </c>
      <c r="B9" s="38" t="s">
        <v>18</v>
      </c>
      <c r="C9" s="46" t="s">
        <v>3</v>
      </c>
      <c r="D9" s="47" t="s">
        <v>20</v>
      </c>
      <c r="E9" s="48" t="s">
        <v>43</v>
      </c>
      <c r="F9" s="38" t="s">
        <v>36</v>
      </c>
      <c r="G9" s="53" t="s">
        <v>66</v>
      </c>
      <c r="H9" s="46"/>
      <c r="I9" s="37"/>
      <c r="J9" s="38"/>
      <c r="K9" s="38"/>
      <c r="L9" s="50" t="s">
        <v>16</v>
      </c>
      <c r="M9" s="52" t="s">
        <v>67</v>
      </c>
      <c r="T9" t="s">
        <v>23</v>
      </c>
    </row>
    <row r="10" spans="1:22" x14ac:dyDescent="0.3">
      <c r="A10" s="37" t="s">
        <v>68</v>
      </c>
      <c r="B10" s="38" t="s">
        <v>18</v>
      </c>
      <c r="C10" s="46" t="s">
        <v>2</v>
      </c>
      <c r="D10" s="47" t="s">
        <v>1</v>
      </c>
      <c r="E10" s="48" t="s">
        <v>4</v>
      </c>
      <c r="F10" s="38" t="s">
        <v>27</v>
      </c>
      <c r="G10" s="54">
        <v>0</v>
      </c>
      <c r="H10" s="46"/>
      <c r="I10" s="37"/>
      <c r="J10" s="38"/>
      <c r="K10" s="38"/>
      <c r="L10" s="50" t="s">
        <v>16</v>
      </c>
      <c r="M10" s="52" t="s">
        <v>71</v>
      </c>
      <c r="T10" t="s">
        <v>25</v>
      </c>
    </row>
    <row r="11" spans="1:22" x14ac:dyDescent="0.3">
      <c r="A11" s="37" t="s">
        <v>69</v>
      </c>
      <c r="B11" s="38" t="s">
        <v>18</v>
      </c>
      <c r="C11" s="46" t="s">
        <v>2</v>
      </c>
      <c r="D11" s="47" t="s">
        <v>0</v>
      </c>
      <c r="E11" s="48" t="s">
        <v>4</v>
      </c>
      <c r="F11" s="38" t="s">
        <v>21</v>
      </c>
      <c r="G11" s="54">
        <v>0</v>
      </c>
      <c r="H11" s="46"/>
      <c r="I11" s="37"/>
      <c r="J11" s="38"/>
      <c r="K11" s="38"/>
      <c r="L11" s="50" t="s">
        <v>16</v>
      </c>
      <c r="M11" s="52" t="s">
        <v>70</v>
      </c>
      <c r="T11" t="s">
        <v>22</v>
      </c>
    </row>
    <row r="12" spans="1:22" x14ac:dyDescent="0.3">
      <c r="A12" s="37" t="s">
        <v>72</v>
      </c>
      <c r="B12" s="38" t="s">
        <v>18</v>
      </c>
      <c r="C12" s="46" t="s">
        <v>3</v>
      </c>
      <c r="D12" s="47" t="s">
        <v>20</v>
      </c>
      <c r="E12" s="48" t="s">
        <v>43</v>
      </c>
      <c r="F12" s="38" t="s">
        <v>23</v>
      </c>
      <c r="G12" s="50" t="s">
        <v>73</v>
      </c>
      <c r="H12" s="46"/>
      <c r="I12" s="37"/>
      <c r="J12" s="38"/>
      <c r="K12" s="38"/>
      <c r="L12" s="50" t="s">
        <v>16</v>
      </c>
      <c r="M12" s="52" t="s">
        <v>74</v>
      </c>
    </row>
    <row r="13" spans="1:22" x14ac:dyDescent="0.3">
      <c r="A13" s="37" t="s">
        <v>75</v>
      </c>
      <c r="B13" s="38" t="s">
        <v>18</v>
      </c>
      <c r="C13" s="46" t="s">
        <v>43</v>
      </c>
      <c r="D13" s="47" t="s">
        <v>51</v>
      </c>
      <c r="E13" s="48"/>
      <c r="F13" s="38" t="s">
        <v>25</v>
      </c>
      <c r="G13" s="50" t="s">
        <v>78</v>
      </c>
      <c r="H13" s="46"/>
      <c r="I13" s="37"/>
      <c r="J13" s="38"/>
      <c r="K13" s="38"/>
      <c r="L13" s="50" t="s">
        <v>16</v>
      </c>
      <c r="M13" s="52" t="s">
        <v>76</v>
      </c>
    </row>
    <row r="14" spans="1:22" x14ac:dyDescent="0.3">
      <c r="A14" s="37" t="s">
        <v>79</v>
      </c>
      <c r="B14" s="38" t="s">
        <v>18</v>
      </c>
      <c r="C14" s="46" t="s">
        <v>32</v>
      </c>
      <c r="D14" s="55">
        <v>46272</v>
      </c>
      <c r="E14" s="48" t="s">
        <v>4</v>
      </c>
      <c r="F14" s="38" t="s">
        <v>14</v>
      </c>
      <c r="G14" s="50">
        <v>0</v>
      </c>
      <c r="H14" s="46"/>
      <c r="I14" s="37"/>
      <c r="J14" s="38"/>
      <c r="K14" s="38"/>
      <c r="L14" s="50" t="s">
        <v>16</v>
      </c>
      <c r="M14" s="52" t="s">
        <v>80</v>
      </c>
    </row>
    <row r="29" spans="1:13" s="11" customFormat="1" x14ac:dyDescent="0.3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</row>
  </sheetData>
  <mergeCells count="3">
    <mergeCell ref="H1:L1"/>
    <mergeCell ref="E1:G1"/>
    <mergeCell ref="C1:D1"/>
  </mergeCells>
  <dataValidations count="3">
    <dataValidation type="list" allowBlank="1" showInputMessage="1" showErrorMessage="1" sqref="H3:H14" xr:uid="{EBEFAEFC-80CF-4B2C-A16A-1FDD617764D6}">
      <formula1>"Somar,Contar,Média"</formula1>
    </dataValidation>
    <dataValidation type="list" allowBlank="1" showInputMessage="1" showErrorMessage="1" sqref="F3:F14" xr:uid="{0E0EBCF2-7D89-4FA3-B7E3-A438A329744F}">
      <formula1>$T$3:$T$11</formula1>
    </dataValidation>
    <dataValidation type="list" allowBlank="1" showInputMessage="1" showErrorMessage="1" sqref="J3:J14" xr:uid="{B8C60BEB-E65D-40FE-9AA2-0BFCA3CA0735}">
      <formula1>$V$3:$V$6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C14 E3:E14 I3:I5" listDataValidatio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F3F0E5-255A-4DCD-AC3E-1B93879F272D}">
          <x14:formula1>
            <xm:f>Tabela!$A$10:$A$10</xm:f>
          </x14:formula1>
          <xm:sqref>E3:E14 I3:I14 C3:C14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A5204-6309-44B9-885E-560C8C9E8C71}">
  <dimension ref="B2:H12"/>
  <sheetViews>
    <sheetView showGridLines="0" workbookViewId="0">
      <selection activeCell="F22" sqref="F22"/>
    </sheetView>
  </sheetViews>
  <sheetFormatPr defaultRowHeight="14.4" x14ac:dyDescent="0.3"/>
  <sheetData>
    <row r="2" spans="2:8" ht="15" thickBot="1" x14ac:dyDescent="0.35"/>
    <row r="3" spans="2:8" ht="21" x14ac:dyDescent="0.4">
      <c r="B3" s="66" t="s">
        <v>152</v>
      </c>
      <c r="C3" s="67"/>
      <c r="D3" s="67"/>
      <c r="E3" s="67"/>
      <c r="F3" s="67"/>
      <c r="G3" s="67"/>
      <c r="H3" s="30"/>
    </row>
    <row r="4" spans="2:8" x14ac:dyDescent="0.3">
      <c r="B4" s="31"/>
      <c r="C4" s="32"/>
      <c r="D4" s="32"/>
      <c r="E4" s="32"/>
      <c r="F4" s="32"/>
      <c r="G4" s="32"/>
      <c r="H4" s="33"/>
    </row>
    <row r="5" spans="2:8" x14ac:dyDescent="0.3">
      <c r="B5" s="31"/>
      <c r="C5" s="32"/>
      <c r="D5" s="32"/>
      <c r="E5" s="32"/>
      <c r="F5" s="32"/>
      <c r="G5" s="32"/>
      <c r="H5" s="33"/>
    </row>
    <row r="6" spans="2:8" x14ac:dyDescent="0.3">
      <c r="B6" s="68" t="s">
        <v>153</v>
      </c>
      <c r="C6" s="69"/>
      <c r="D6" s="69"/>
      <c r="E6" s="69"/>
      <c r="F6" s="69"/>
      <c r="G6" s="69"/>
      <c r="H6" s="70"/>
    </row>
    <row r="7" spans="2:8" x14ac:dyDescent="0.3">
      <c r="B7" s="68"/>
      <c r="C7" s="69"/>
      <c r="D7" s="69"/>
      <c r="E7" s="69"/>
      <c r="F7" s="69"/>
      <c r="G7" s="69"/>
      <c r="H7" s="70"/>
    </row>
    <row r="8" spans="2:8" x14ac:dyDescent="0.3">
      <c r="B8" s="31"/>
      <c r="C8" s="32"/>
      <c r="D8" s="32"/>
      <c r="E8" s="32"/>
      <c r="F8" s="32"/>
      <c r="G8" s="32"/>
      <c r="H8" s="33"/>
    </row>
    <row r="9" spans="2:8" x14ac:dyDescent="0.3">
      <c r="B9" s="68" t="s">
        <v>154</v>
      </c>
      <c r="C9" s="69"/>
      <c r="D9" s="69"/>
      <c r="E9" s="69"/>
      <c r="F9" s="69"/>
      <c r="G9" s="69"/>
      <c r="H9" s="70"/>
    </row>
    <row r="10" spans="2:8" x14ac:dyDescent="0.3">
      <c r="B10" s="68"/>
      <c r="C10" s="69"/>
      <c r="D10" s="69"/>
      <c r="E10" s="69"/>
      <c r="F10" s="69"/>
      <c r="G10" s="69"/>
      <c r="H10" s="70"/>
    </row>
    <row r="11" spans="2:8" x14ac:dyDescent="0.3">
      <c r="B11" s="31"/>
      <c r="C11" s="32"/>
      <c r="D11" s="32"/>
      <c r="E11" s="32"/>
      <c r="F11" s="32"/>
      <c r="G11" s="32"/>
      <c r="H11" s="33"/>
    </row>
    <row r="12" spans="2:8" ht="15" thickBot="1" x14ac:dyDescent="0.35">
      <c r="B12" s="34"/>
      <c r="C12" s="35"/>
      <c r="D12" s="35"/>
      <c r="E12" s="35"/>
      <c r="F12" s="35"/>
      <c r="G12" s="35"/>
      <c r="H12" s="36"/>
    </row>
  </sheetData>
  <mergeCells count="3">
    <mergeCell ref="B3:G3"/>
    <mergeCell ref="B6:H7"/>
    <mergeCell ref="B9:H10"/>
  </mergeCells>
  <hyperlinks>
    <hyperlink ref="B6:H7" r:id="rId1" display="http://linkedin.com/in/caio-henrique-625682a2" xr:uid="{D27C014C-A1AD-4505-9BC6-B0DF7D0C3BDD}"/>
    <hyperlink ref="B9:H10" r:id="rId2" display="https://github.com/caiogomesdeoliveira01-cyber" xr:uid="{B221603B-7EED-499F-84AB-355B7B23F3B1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Tabela</vt:lpstr>
      <vt:lpstr>Lista de Regras</vt:lpstr>
      <vt:lpstr>Contato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2026-10-11T13:51:13Z</dcterms:created>
  <dcterms:modified xsi:type="dcterms:W3CDTF">2026-10-11T13:52:08Z</dcterms:modified>
</cp:coreProperties>
</file>